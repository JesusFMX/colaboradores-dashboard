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susayensa/Downloads/"/>
    </mc:Choice>
  </mc:AlternateContent>
  <xr:revisionPtr revIDLastSave="0" documentId="13_ncr:1_{0BA609F1-3D43-344D-8811-F375B698E60B}" xr6:coauthVersionLast="47" xr6:coauthVersionMax="47" xr10:uidLastSave="{00000000-0000-0000-0000-000000000000}"/>
  <bookViews>
    <workbookView xWindow="30180" yWindow="620" windowWidth="34440" windowHeight="15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5" i="1"/>
</calcChain>
</file>

<file path=xl/sharedStrings.xml><?xml version="1.0" encoding="utf-8"?>
<sst xmlns="http://schemas.openxmlformats.org/spreadsheetml/2006/main" count="231" uniqueCount="98">
  <si>
    <t>Proveedor</t>
  </si>
  <si>
    <t>Provincia</t>
  </si>
  <si>
    <t>Gremio</t>
  </si>
  <si>
    <t>Coste mínimo prov/gremio</t>
  </si>
  <si>
    <t>Coste real proveedor</t>
  </si>
  <si>
    <t>Puntuación Coste</t>
  </si>
  <si>
    <t>Servicios en tiempo</t>
  </si>
  <si>
    <t>Total servicios</t>
  </si>
  <si>
    <t>SLA %</t>
  </si>
  <si>
    <t>Puntuación SLA</t>
  </si>
  <si>
    <t>Estrellas calidad</t>
  </si>
  <si>
    <t>Puntuación Calidad</t>
  </si>
  <si>
    <t>Fallos doc.</t>
  </si>
  <si>
    <t>Puntuación Doc.</t>
  </si>
  <si>
    <t>Puntuación Final</t>
  </si>
  <si>
    <t>Clima_Madrid_1</t>
  </si>
  <si>
    <t>Clima_Madrid_2</t>
  </si>
  <si>
    <t>Clima_Madrid_3</t>
  </si>
  <si>
    <t>Fontanería_Madrid_1</t>
  </si>
  <si>
    <t>Fontanería_Madrid_2</t>
  </si>
  <si>
    <t>Fontanería_Madrid_3</t>
  </si>
  <si>
    <t>Electricidad_Madrid_1</t>
  </si>
  <si>
    <t>Electricidad_Madrid_2</t>
  </si>
  <si>
    <t>Electricidad_Madrid_3</t>
  </si>
  <si>
    <t>Clima_Barcelona_1</t>
  </si>
  <si>
    <t>Clima_Barcelona_2</t>
  </si>
  <si>
    <t>Clima_Barcelona_3</t>
  </si>
  <si>
    <t>Fontanería_Barcelona_1</t>
  </si>
  <si>
    <t>Fontanería_Barcelona_2</t>
  </si>
  <si>
    <t>Fontanería_Barcelona_3</t>
  </si>
  <si>
    <t>Electricidad_Barcelona_1</t>
  </si>
  <si>
    <t>Electricidad_Barcelona_2</t>
  </si>
  <si>
    <t>Electricidad_Barcelona_3</t>
  </si>
  <si>
    <t>Clima_Sevilla_1</t>
  </si>
  <si>
    <t>Clima_Sevilla_2</t>
  </si>
  <si>
    <t>Clima_Sevilla_3</t>
  </si>
  <si>
    <t>Fontanería_Sevilla_1</t>
  </si>
  <si>
    <t>Fontanería_Sevilla_2</t>
  </si>
  <si>
    <t>Fontanería_Sevilla_3</t>
  </si>
  <si>
    <t>Electricidad_Sevilla_1</t>
  </si>
  <si>
    <t>Electricidad_Sevilla_2</t>
  </si>
  <si>
    <t>Electricidad_Sevilla_3</t>
  </si>
  <si>
    <t>Clima_Málaga_1</t>
  </si>
  <si>
    <t>Clima_Málaga_2</t>
  </si>
  <si>
    <t>Clima_Málaga_3</t>
  </si>
  <si>
    <t>Fontanería_Málaga_1</t>
  </si>
  <si>
    <t>Fontanería_Málaga_2</t>
  </si>
  <si>
    <t>Fontanería_Málaga_3</t>
  </si>
  <si>
    <t>Electricidad_Málaga_1</t>
  </si>
  <si>
    <t>Electricidad_Málaga_2</t>
  </si>
  <si>
    <t>Electricidad_Málaga_3</t>
  </si>
  <si>
    <t>Clima_Valencia_1</t>
  </si>
  <si>
    <t>Clima_Valencia_2</t>
  </si>
  <si>
    <t>Clima_Valencia_3</t>
  </si>
  <si>
    <t>Fontanería_Valencia_1</t>
  </si>
  <si>
    <t>Fontanería_Valencia_2</t>
  </si>
  <si>
    <t>Fontanería_Valencia_3</t>
  </si>
  <si>
    <t>Electricidad_Valencia_1</t>
  </si>
  <si>
    <t>Electricidad_Valencia_2</t>
  </si>
  <si>
    <t>Electricidad_Valencia_3</t>
  </si>
  <si>
    <t>Clima_Zaragoza_1</t>
  </si>
  <si>
    <t>Clima_Zaragoza_2</t>
  </si>
  <si>
    <t>Clima_Zaragoza_3</t>
  </si>
  <si>
    <t>Fontanería_Zaragoza_1</t>
  </si>
  <si>
    <t>Fontanería_Zaragoza_2</t>
  </si>
  <si>
    <t>Fontanería_Zaragoza_3</t>
  </si>
  <si>
    <t>Electricidad_Zaragoza_1</t>
  </si>
  <si>
    <t>Electricidad_Zaragoza_2</t>
  </si>
  <si>
    <t>Electricidad_Zaragoza_3</t>
  </si>
  <si>
    <t>Clima_Alicante_1</t>
  </si>
  <si>
    <t>Clima_Alicante_2</t>
  </si>
  <si>
    <t>Clima_Alicante_3</t>
  </si>
  <si>
    <t>Fontanería_Alicante_1</t>
  </si>
  <si>
    <t>Fontanería_Alicante_2</t>
  </si>
  <si>
    <t>Fontanería_Alicante_3</t>
  </si>
  <si>
    <t>Electricidad_Alicante_1</t>
  </si>
  <si>
    <t>Electricidad_Alicante_2</t>
  </si>
  <si>
    <t>Electricidad_Alicante_3</t>
  </si>
  <si>
    <t>Clima_Bizkaia_1</t>
  </si>
  <si>
    <t>Clima_Bizkaia_2</t>
  </si>
  <si>
    <t>Clima_Bizkaia_3</t>
  </si>
  <si>
    <t>Fontanería_Bizkaia_1</t>
  </si>
  <si>
    <t>Fontanería_Bizkaia_2</t>
  </si>
  <si>
    <t>Fontanería_Bizkaia_3</t>
  </si>
  <si>
    <t>Electricidad_Bizkaia_1</t>
  </si>
  <si>
    <t>Electricidad_Bizkaia_2</t>
  </si>
  <si>
    <t>Electricidad_Bizkaia_3</t>
  </si>
  <si>
    <t>Madrid</t>
  </si>
  <si>
    <t>Barcelona</t>
  </si>
  <si>
    <t>Sevilla</t>
  </si>
  <si>
    <t>Málaga</t>
  </si>
  <si>
    <t>Valencia</t>
  </si>
  <si>
    <t>Zaragoza</t>
  </si>
  <si>
    <t>Alicante</t>
  </si>
  <si>
    <t>Bizkaia</t>
  </si>
  <si>
    <t>clima</t>
  </si>
  <si>
    <t>fontanería</t>
  </si>
  <si>
    <t>electricidad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</si>
</sst>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139700</xdr:colOff>
      <xdr:row>0</xdr:row>
      <xdr:rowOff>0</xdr:rowOff>
    </xdr:from>
    <xdr:ext cx="1905000" cy="571500"/>
    <xdr:pic>
      <xdr:nvPicPr>
        <xdr:cNvPr id="2" name="image1.jpg" descr="Picture">
          <a:extLst>
            <a:ext uri="{FF2B5EF4-FFF2-40B4-BE49-F238E27FC236}">
              <a16:creationId xmlns:a16="http://schemas.microsoft.com/office/drawing/2014/main" id="{0B1815EE-C28E-B94D-A72C-F3E1621465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86800" y="0"/>
          <a:ext cx="1905000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76"/>
  <sheetViews>
    <sheetView tabSelected="1" workbookViewId="0">
      <selection activeCell="Q59" sqref="Q59"/>
    </sheetView>
  </sheetViews>
  <sheetFormatPr baseColWidth="10" defaultColWidth="8.83203125" defaultRowHeight="15" x14ac:dyDescent="0.2"/>
  <cols>
    <col min="1" max="1" width="20.6640625" customWidth="1"/>
    <col min="2" max="2" width="16" customWidth="1"/>
    <col min="3" max="3" width="13.5" customWidth="1"/>
    <col min="4" max="4" width="24.83203125" customWidth="1"/>
    <col min="5" max="5" width="19.1640625" customWidth="1"/>
    <col min="6" max="6" width="18" customWidth="1"/>
    <col min="7" max="7" width="17.33203125" customWidth="1"/>
    <col min="8" max="8" width="14.5" customWidth="1"/>
    <col min="9" max="9" width="15.83203125" customWidth="1"/>
    <col min="10" max="10" width="16.33203125" customWidth="1"/>
    <col min="11" max="11" width="14.33203125" customWidth="1"/>
    <col min="12" max="12" width="17.33203125" customWidth="1"/>
    <col min="13" max="13" width="11.6640625" customWidth="1"/>
    <col min="14" max="14" width="13.83203125" customWidth="1"/>
    <col min="15" max="15" width="17.5" customWidth="1"/>
  </cols>
  <sheetData>
    <row r="4" spans="1:1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 x14ac:dyDescent="0.2">
      <c r="A5" t="s">
        <v>15</v>
      </c>
      <c r="B5" t="s">
        <v>87</v>
      </c>
      <c r="C5" t="s">
        <v>95</v>
      </c>
      <c r="D5">
        <v>59</v>
      </c>
      <c r="E5">
        <v>63</v>
      </c>
      <c r="F5">
        <f>D5/E5*5</f>
        <v>4.6825396825396828</v>
      </c>
      <c r="G5">
        <v>4</v>
      </c>
      <c r="H5">
        <v>7</v>
      </c>
      <c r="I5">
        <v>0.5714285714285714</v>
      </c>
      <c r="J5">
        <f>IF(I5&gt;=0.95,5,IF(I5&gt;=0.9,4,IF(I5&gt;=0.8,3,IF(I5&gt;=0.7,2,1))))</f>
        <v>1</v>
      </c>
      <c r="K5">
        <v>3</v>
      </c>
      <c r="L5">
        <f>K5-1</f>
        <v>2</v>
      </c>
      <c r="M5">
        <v>3</v>
      </c>
      <c r="N5">
        <f>IF(M5=0,5,IF(M5&lt;=2,3,0))</f>
        <v>0</v>
      </c>
      <c r="O5">
        <f>(F5*0.25)+(J5*0.25)+(L5*0.25)+(N5*0.25)</f>
        <v>1.9206349206349207</v>
      </c>
    </row>
    <row r="6" spans="1:15" x14ac:dyDescent="0.2">
      <c r="A6" t="s">
        <v>16</v>
      </c>
      <c r="B6" t="s">
        <v>87</v>
      </c>
      <c r="C6" t="s">
        <v>95</v>
      </c>
      <c r="D6">
        <v>59</v>
      </c>
      <c r="E6">
        <v>67</v>
      </c>
      <c r="F6">
        <f t="shared" ref="F6:F69" si="0">D6/E6*5</f>
        <v>4.4029850746268657</v>
      </c>
      <c r="G6">
        <v>13</v>
      </c>
      <c r="H6">
        <v>19</v>
      </c>
      <c r="I6">
        <v>0.68421052631578949</v>
      </c>
      <c r="J6">
        <f t="shared" ref="J6:J69" si="1">IF(I6&gt;=0.95,5,IF(I6&gt;=0.9,4,IF(I6&gt;=0.8,3,IF(I6&gt;=0.7,2,1))))</f>
        <v>1</v>
      </c>
      <c r="K6">
        <v>4</v>
      </c>
      <c r="L6">
        <f t="shared" ref="L6:L69" si="2">K6-1</f>
        <v>3</v>
      </c>
      <c r="M6">
        <v>3</v>
      </c>
      <c r="N6">
        <f t="shared" ref="N6:N69" si="3">IF(M6=0,5,IF(M6&lt;=2,3,0))</f>
        <v>0</v>
      </c>
      <c r="O6">
        <f t="shared" ref="O6:O69" si="4">(F6*0.25)+(J6*0.25)+(L6*0.25)+(N6*0.25)</f>
        <v>2.1007462686567164</v>
      </c>
    </row>
    <row r="7" spans="1:15" x14ac:dyDescent="0.2">
      <c r="A7" t="s">
        <v>17</v>
      </c>
      <c r="B7" t="s">
        <v>87</v>
      </c>
      <c r="C7" t="s">
        <v>95</v>
      </c>
      <c r="D7">
        <v>59</v>
      </c>
      <c r="E7">
        <v>77</v>
      </c>
      <c r="F7">
        <f t="shared" si="0"/>
        <v>3.8311688311688314</v>
      </c>
      <c r="G7">
        <v>18</v>
      </c>
      <c r="H7">
        <v>24</v>
      </c>
      <c r="I7">
        <v>0.75</v>
      </c>
      <c r="J7">
        <f t="shared" si="1"/>
        <v>2</v>
      </c>
      <c r="K7">
        <v>5</v>
      </c>
      <c r="L7">
        <f t="shared" si="2"/>
        <v>4</v>
      </c>
      <c r="M7">
        <v>1</v>
      </c>
      <c r="N7">
        <f t="shared" si="3"/>
        <v>3</v>
      </c>
      <c r="O7">
        <f t="shared" si="4"/>
        <v>3.2077922077922079</v>
      </c>
    </row>
    <row r="8" spans="1:15" x14ac:dyDescent="0.2">
      <c r="A8" t="s">
        <v>18</v>
      </c>
      <c r="B8" t="s">
        <v>87</v>
      </c>
      <c r="C8" t="s">
        <v>96</v>
      </c>
      <c r="D8">
        <v>52</v>
      </c>
      <c r="E8">
        <v>52</v>
      </c>
      <c r="F8">
        <f t="shared" si="0"/>
        <v>5</v>
      </c>
      <c r="G8">
        <v>5</v>
      </c>
      <c r="H8">
        <v>8</v>
      </c>
      <c r="I8">
        <v>0.625</v>
      </c>
      <c r="J8">
        <f t="shared" si="1"/>
        <v>1</v>
      </c>
      <c r="K8">
        <v>5</v>
      </c>
      <c r="L8">
        <f t="shared" si="2"/>
        <v>4</v>
      </c>
      <c r="M8">
        <v>3</v>
      </c>
      <c r="N8">
        <f t="shared" si="3"/>
        <v>0</v>
      </c>
      <c r="O8">
        <f t="shared" si="4"/>
        <v>2.5</v>
      </c>
    </row>
    <row r="9" spans="1:15" x14ac:dyDescent="0.2">
      <c r="A9" t="s">
        <v>19</v>
      </c>
      <c r="B9" t="s">
        <v>87</v>
      </c>
      <c r="C9" t="s">
        <v>96</v>
      </c>
      <c r="D9">
        <v>52</v>
      </c>
      <c r="E9">
        <v>66</v>
      </c>
      <c r="F9">
        <f t="shared" si="0"/>
        <v>3.9393939393939394</v>
      </c>
      <c r="G9">
        <v>17</v>
      </c>
      <c r="H9">
        <v>17</v>
      </c>
      <c r="I9">
        <v>1</v>
      </c>
      <c r="J9">
        <f t="shared" si="1"/>
        <v>5</v>
      </c>
      <c r="K9">
        <v>3</v>
      </c>
      <c r="L9">
        <f t="shared" si="2"/>
        <v>2</v>
      </c>
      <c r="M9">
        <v>2</v>
      </c>
      <c r="N9">
        <f t="shared" si="3"/>
        <v>3</v>
      </c>
      <c r="O9">
        <f t="shared" si="4"/>
        <v>3.4848484848484849</v>
      </c>
    </row>
    <row r="10" spans="1:15" x14ac:dyDescent="0.2">
      <c r="A10" t="s">
        <v>20</v>
      </c>
      <c r="B10" t="s">
        <v>87</v>
      </c>
      <c r="C10" t="s">
        <v>96</v>
      </c>
      <c r="D10">
        <v>52</v>
      </c>
      <c r="E10">
        <v>57</v>
      </c>
      <c r="F10">
        <f t="shared" si="0"/>
        <v>4.5614035087719298</v>
      </c>
      <c r="G10">
        <v>15</v>
      </c>
      <c r="H10">
        <v>16</v>
      </c>
      <c r="I10">
        <v>0.9375</v>
      </c>
      <c r="J10">
        <f t="shared" si="1"/>
        <v>4</v>
      </c>
      <c r="K10">
        <v>3</v>
      </c>
      <c r="L10">
        <f t="shared" si="2"/>
        <v>2</v>
      </c>
      <c r="M10">
        <v>2</v>
      </c>
      <c r="N10">
        <f t="shared" si="3"/>
        <v>3</v>
      </c>
      <c r="O10">
        <f t="shared" si="4"/>
        <v>3.3903508771929824</v>
      </c>
    </row>
    <row r="11" spans="1:15" x14ac:dyDescent="0.2">
      <c r="A11" t="s">
        <v>21</v>
      </c>
      <c r="B11" t="s">
        <v>87</v>
      </c>
      <c r="C11" t="s">
        <v>97</v>
      </c>
      <c r="D11">
        <v>60</v>
      </c>
      <c r="E11">
        <v>64</v>
      </c>
      <c r="F11">
        <f t="shared" si="0"/>
        <v>4.6875</v>
      </c>
      <c r="G11">
        <v>19</v>
      </c>
      <c r="H11">
        <v>28</v>
      </c>
      <c r="I11">
        <v>0.6785714285714286</v>
      </c>
      <c r="J11">
        <f t="shared" si="1"/>
        <v>1</v>
      </c>
      <c r="K11">
        <v>5</v>
      </c>
      <c r="L11">
        <f t="shared" si="2"/>
        <v>4</v>
      </c>
      <c r="M11">
        <v>3</v>
      </c>
      <c r="N11">
        <f t="shared" si="3"/>
        <v>0</v>
      </c>
      <c r="O11">
        <f t="shared" si="4"/>
        <v>2.421875</v>
      </c>
    </row>
    <row r="12" spans="1:15" x14ac:dyDescent="0.2">
      <c r="A12" t="s">
        <v>22</v>
      </c>
      <c r="B12" t="s">
        <v>87</v>
      </c>
      <c r="C12" t="s">
        <v>97</v>
      </c>
      <c r="D12">
        <v>60</v>
      </c>
      <c r="E12">
        <v>65</v>
      </c>
      <c r="F12">
        <f t="shared" si="0"/>
        <v>4.6153846153846159</v>
      </c>
      <c r="G12">
        <v>6</v>
      </c>
      <c r="H12">
        <v>6</v>
      </c>
      <c r="I12">
        <v>1</v>
      </c>
      <c r="J12">
        <f t="shared" si="1"/>
        <v>5</v>
      </c>
      <c r="K12">
        <v>5</v>
      </c>
      <c r="L12">
        <f t="shared" si="2"/>
        <v>4</v>
      </c>
      <c r="M12">
        <v>0</v>
      </c>
      <c r="N12">
        <f t="shared" si="3"/>
        <v>5</v>
      </c>
      <c r="O12">
        <f t="shared" si="4"/>
        <v>4.6538461538461542</v>
      </c>
    </row>
    <row r="13" spans="1:15" x14ac:dyDescent="0.2">
      <c r="A13" t="s">
        <v>23</v>
      </c>
      <c r="B13" t="s">
        <v>87</v>
      </c>
      <c r="C13" t="s">
        <v>97</v>
      </c>
      <c r="D13">
        <v>60</v>
      </c>
      <c r="E13">
        <v>69</v>
      </c>
      <c r="F13">
        <f t="shared" si="0"/>
        <v>4.3478260869565215</v>
      </c>
      <c r="G13">
        <v>22</v>
      </c>
      <c r="H13">
        <v>26</v>
      </c>
      <c r="I13">
        <v>0.84615384615384615</v>
      </c>
      <c r="J13">
        <f t="shared" si="1"/>
        <v>3</v>
      </c>
      <c r="K13">
        <v>5</v>
      </c>
      <c r="L13">
        <f t="shared" si="2"/>
        <v>4</v>
      </c>
      <c r="M13">
        <v>0</v>
      </c>
      <c r="N13">
        <f t="shared" si="3"/>
        <v>5</v>
      </c>
      <c r="O13">
        <f t="shared" si="4"/>
        <v>4.0869565217391308</v>
      </c>
    </row>
    <row r="14" spans="1:15" x14ac:dyDescent="0.2">
      <c r="A14" t="s">
        <v>24</v>
      </c>
      <c r="B14" t="s">
        <v>88</v>
      </c>
      <c r="C14" t="s">
        <v>95</v>
      </c>
      <c r="D14">
        <v>64</v>
      </c>
      <c r="E14">
        <v>71</v>
      </c>
      <c r="F14">
        <f t="shared" si="0"/>
        <v>4.507042253521127</v>
      </c>
      <c r="G14">
        <v>13</v>
      </c>
      <c r="H14">
        <v>18</v>
      </c>
      <c r="I14">
        <v>0.72222222222222221</v>
      </c>
      <c r="J14">
        <f t="shared" si="1"/>
        <v>2</v>
      </c>
      <c r="K14">
        <v>4</v>
      </c>
      <c r="L14">
        <f t="shared" si="2"/>
        <v>3</v>
      </c>
      <c r="M14">
        <v>1</v>
      </c>
      <c r="N14">
        <f t="shared" si="3"/>
        <v>3</v>
      </c>
      <c r="O14">
        <f t="shared" si="4"/>
        <v>3.126760563380282</v>
      </c>
    </row>
    <row r="15" spans="1:15" x14ac:dyDescent="0.2">
      <c r="A15" t="s">
        <v>25</v>
      </c>
      <c r="B15" t="s">
        <v>88</v>
      </c>
      <c r="C15" t="s">
        <v>95</v>
      </c>
      <c r="D15">
        <v>64</v>
      </c>
      <c r="E15">
        <v>69</v>
      </c>
      <c r="F15">
        <f t="shared" si="0"/>
        <v>4.63768115942029</v>
      </c>
      <c r="G15">
        <v>13</v>
      </c>
      <c r="H15">
        <v>18</v>
      </c>
      <c r="I15">
        <v>0.72222222222222221</v>
      </c>
      <c r="J15">
        <f t="shared" si="1"/>
        <v>2</v>
      </c>
      <c r="K15">
        <v>3</v>
      </c>
      <c r="L15">
        <f t="shared" si="2"/>
        <v>2</v>
      </c>
      <c r="M15">
        <v>0</v>
      </c>
      <c r="N15">
        <f t="shared" si="3"/>
        <v>5</v>
      </c>
      <c r="O15">
        <f t="shared" si="4"/>
        <v>3.4094202898550723</v>
      </c>
    </row>
    <row r="16" spans="1:15" x14ac:dyDescent="0.2">
      <c r="A16" t="s">
        <v>26</v>
      </c>
      <c r="B16" t="s">
        <v>88</v>
      </c>
      <c r="C16" t="s">
        <v>95</v>
      </c>
      <c r="D16">
        <v>64</v>
      </c>
      <c r="E16">
        <v>82</v>
      </c>
      <c r="F16">
        <f t="shared" si="0"/>
        <v>3.9024390243902438</v>
      </c>
      <c r="G16">
        <v>23</v>
      </c>
      <c r="H16">
        <v>23</v>
      </c>
      <c r="I16">
        <v>1</v>
      </c>
      <c r="J16">
        <f t="shared" si="1"/>
        <v>5</v>
      </c>
      <c r="K16">
        <v>5</v>
      </c>
      <c r="L16">
        <f t="shared" si="2"/>
        <v>4</v>
      </c>
      <c r="M16">
        <v>0</v>
      </c>
      <c r="N16">
        <f t="shared" si="3"/>
        <v>5</v>
      </c>
      <c r="O16">
        <f t="shared" si="4"/>
        <v>4.475609756097561</v>
      </c>
    </row>
    <row r="17" spans="1:15" x14ac:dyDescent="0.2">
      <c r="A17" t="s">
        <v>27</v>
      </c>
      <c r="B17" t="s">
        <v>88</v>
      </c>
      <c r="C17" t="s">
        <v>96</v>
      </c>
      <c r="D17">
        <v>47</v>
      </c>
      <c r="E17">
        <v>62</v>
      </c>
      <c r="F17">
        <f t="shared" si="0"/>
        <v>3.790322580645161</v>
      </c>
      <c r="G17">
        <v>7</v>
      </c>
      <c r="H17">
        <v>9</v>
      </c>
      <c r="I17">
        <v>0.77777777777777779</v>
      </c>
      <c r="J17">
        <f t="shared" si="1"/>
        <v>2</v>
      </c>
      <c r="K17">
        <v>3</v>
      </c>
      <c r="L17">
        <f t="shared" si="2"/>
        <v>2</v>
      </c>
      <c r="M17">
        <v>3</v>
      </c>
      <c r="N17">
        <f t="shared" si="3"/>
        <v>0</v>
      </c>
      <c r="O17">
        <f t="shared" si="4"/>
        <v>1.9475806451612903</v>
      </c>
    </row>
    <row r="18" spans="1:15" x14ac:dyDescent="0.2">
      <c r="A18" t="s">
        <v>28</v>
      </c>
      <c r="B18" t="s">
        <v>88</v>
      </c>
      <c r="C18" t="s">
        <v>96</v>
      </c>
      <c r="D18">
        <v>47</v>
      </c>
      <c r="E18">
        <v>58</v>
      </c>
      <c r="F18">
        <f t="shared" si="0"/>
        <v>4.0517241379310338</v>
      </c>
      <c r="G18">
        <v>13</v>
      </c>
      <c r="H18">
        <v>18</v>
      </c>
      <c r="I18">
        <v>0.72222222222222221</v>
      </c>
      <c r="J18">
        <f t="shared" si="1"/>
        <v>2</v>
      </c>
      <c r="K18">
        <v>3</v>
      </c>
      <c r="L18">
        <f t="shared" si="2"/>
        <v>2</v>
      </c>
      <c r="M18">
        <v>3</v>
      </c>
      <c r="N18">
        <f t="shared" si="3"/>
        <v>0</v>
      </c>
      <c r="O18">
        <f t="shared" si="4"/>
        <v>2.0129310344827585</v>
      </c>
    </row>
    <row r="19" spans="1:15" x14ac:dyDescent="0.2">
      <c r="A19" t="s">
        <v>29</v>
      </c>
      <c r="B19" t="s">
        <v>88</v>
      </c>
      <c r="C19" t="s">
        <v>96</v>
      </c>
      <c r="D19">
        <v>47</v>
      </c>
      <c r="E19">
        <v>55</v>
      </c>
      <c r="F19">
        <f t="shared" si="0"/>
        <v>4.2727272727272725</v>
      </c>
      <c r="G19">
        <v>12</v>
      </c>
      <c r="H19">
        <v>17</v>
      </c>
      <c r="I19">
        <v>0.70588235294117652</v>
      </c>
      <c r="J19">
        <f t="shared" si="1"/>
        <v>2</v>
      </c>
      <c r="K19">
        <v>5</v>
      </c>
      <c r="L19">
        <f t="shared" si="2"/>
        <v>4</v>
      </c>
      <c r="M19">
        <v>2</v>
      </c>
      <c r="N19">
        <f t="shared" si="3"/>
        <v>3</v>
      </c>
      <c r="O19">
        <f t="shared" si="4"/>
        <v>3.3181818181818183</v>
      </c>
    </row>
    <row r="20" spans="1:15" x14ac:dyDescent="0.2">
      <c r="A20" t="s">
        <v>30</v>
      </c>
      <c r="B20" t="s">
        <v>88</v>
      </c>
      <c r="C20" t="s">
        <v>97</v>
      </c>
      <c r="D20">
        <v>56</v>
      </c>
      <c r="E20">
        <v>57</v>
      </c>
      <c r="F20">
        <f t="shared" si="0"/>
        <v>4.9122807017543852</v>
      </c>
      <c r="G20">
        <v>16</v>
      </c>
      <c r="H20">
        <v>17</v>
      </c>
      <c r="I20">
        <v>0.94117647058823528</v>
      </c>
      <c r="J20">
        <f t="shared" si="1"/>
        <v>4</v>
      </c>
      <c r="K20">
        <v>5</v>
      </c>
      <c r="L20">
        <f t="shared" si="2"/>
        <v>4</v>
      </c>
      <c r="M20">
        <v>0</v>
      </c>
      <c r="N20">
        <f t="shared" si="3"/>
        <v>5</v>
      </c>
      <c r="O20">
        <f t="shared" si="4"/>
        <v>4.4780701754385959</v>
      </c>
    </row>
    <row r="21" spans="1:15" x14ac:dyDescent="0.2">
      <c r="A21" t="s">
        <v>31</v>
      </c>
      <c r="B21" t="s">
        <v>88</v>
      </c>
      <c r="C21" t="s">
        <v>97</v>
      </c>
      <c r="D21">
        <v>56</v>
      </c>
      <c r="E21">
        <v>68</v>
      </c>
      <c r="F21">
        <f t="shared" si="0"/>
        <v>4.117647058823529</v>
      </c>
      <c r="G21">
        <v>10</v>
      </c>
      <c r="H21">
        <v>15</v>
      </c>
      <c r="I21">
        <v>0.66666666666666663</v>
      </c>
      <c r="J21">
        <f t="shared" si="1"/>
        <v>1</v>
      </c>
      <c r="K21">
        <v>4</v>
      </c>
      <c r="L21">
        <f t="shared" si="2"/>
        <v>3</v>
      </c>
      <c r="M21">
        <v>2</v>
      </c>
      <c r="N21">
        <f t="shared" si="3"/>
        <v>3</v>
      </c>
      <c r="O21">
        <f t="shared" si="4"/>
        <v>2.7794117647058822</v>
      </c>
    </row>
    <row r="22" spans="1:15" x14ac:dyDescent="0.2">
      <c r="A22" t="s">
        <v>32</v>
      </c>
      <c r="B22" t="s">
        <v>88</v>
      </c>
      <c r="C22" t="s">
        <v>97</v>
      </c>
      <c r="D22">
        <v>56</v>
      </c>
      <c r="E22">
        <v>61</v>
      </c>
      <c r="F22">
        <f t="shared" si="0"/>
        <v>4.5901639344262293</v>
      </c>
      <c r="G22">
        <v>9</v>
      </c>
      <c r="H22">
        <v>9</v>
      </c>
      <c r="I22">
        <v>1</v>
      </c>
      <c r="J22">
        <f t="shared" si="1"/>
        <v>5</v>
      </c>
      <c r="K22">
        <v>3</v>
      </c>
      <c r="L22">
        <f t="shared" si="2"/>
        <v>2</v>
      </c>
      <c r="M22">
        <v>3</v>
      </c>
      <c r="N22">
        <f t="shared" si="3"/>
        <v>0</v>
      </c>
      <c r="O22">
        <f t="shared" si="4"/>
        <v>2.8975409836065573</v>
      </c>
    </row>
    <row r="23" spans="1:15" x14ac:dyDescent="0.2">
      <c r="A23" t="s">
        <v>33</v>
      </c>
      <c r="B23" t="s">
        <v>89</v>
      </c>
      <c r="C23" t="s">
        <v>95</v>
      </c>
      <c r="D23">
        <v>57</v>
      </c>
      <c r="E23">
        <v>57</v>
      </c>
      <c r="F23">
        <f t="shared" si="0"/>
        <v>5</v>
      </c>
      <c r="G23">
        <v>19</v>
      </c>
      <c r="H23">
        <v>20</v>
      </c>
      <c r="I23">
        <v>0.95</v>
      </c>
      <c r="J23">
        <f t="shared" si="1"/>
        <v>5</v>
      </c>
      <c r="K23">
        <v>3</v>
      </c>
      <c r="L23">
        <f t="shared" si="2"/>
        <v>2</v>
      </c>
      <c r="M23">
        <v>3</v>
      </c>
      <c r="N23">
        <f t="shared" si="3"/>
        <v>0</v>
      </c>
      <c r="O23">
        <f t="shared" si="4"/>
        <v>3</v>
      </c>
    </row>
    <row r="24" spans="1:15" x14ac:dyDescent="0.2">
      <c r="A24" t="s">
        <v>34</v>
      </c>
      <c r="B24" t="s">
        <v>89</v>
      </c>
      <c r="C24" t="s">
        <v>95</v>
      </c>
      <c r="D24">
        <v>57</v>
      </c>
      <c r="E24">
        <v>76</v>
      </c>
      <c r="F24">
        <f t="shared" si="0"/>
        <v>3.75</v>
      </c>
      <c r="G24">
        <v>20</v>
      </c>
      <c r="H24">
        <v>25</v>
      </c>
      <c r="I24">
        <v>0.8</v>
      </c>
      <c r="J24">
        <f t="shared" si="1"/>
        <v>3</v>
      </c>
      <c r="K24">
        <v>4</v>
      </c>
      <c r="L24">
        <f t="shared" si="2"/>
        <v>3</v>
      </c>
      <c r="M24">
        <v>3</v>
      </c>
      <c r="N24">
        <f t="shared" si="3"/>
        <v>0</v>
      </c>
      <c r="O24">
        <f t="shared" si="4"/>
        <v>2.4375</v>
      </c>
    </row>
    <row r="25" spans="1:15" x14ac:dyDescent="0.2">
      <c r="A25" t="s">
        <v>35</v>
      </c>
      <c r="B25" t="s">
        <v>89</v>
      </c>
      <c r="C25" t="s">
        <v>95</v>
      </c>
      <c r="D25">
        <v>57</v>
      </c>
      <c r="E25">
        <v>76</v>
      </c>
      <c r="F25">
        <f t="shared" si="0"/>
        <v>3.75</v>
      </c>
      <c r="G25">
        <v>10</v>
      </c>
      <c r="H25">
        <v>15</v>
      </c>
      <c r="I25">
        <v>0.66666666666666663</v>
      </c>
      <c r="J25">
        <f t="shared" si="1"/>
        <v>1</v>
      </c>
      <c r="K25">
        <v>5</v>
      </c>
      <c r="L25">
        <f t="shared" si="2"/>
        <v>4</v>
      </c>
      <c r="M25">
        <v>2</v>
      </c>
      <c r="N25">
        <f t="shared" si="3"/>
        <v>3</v>
      </c>
      <c r="O25">
        <f t="shared" si="4"/>
        <v>2.9375</v>
      </c>
    </row>
    <row r="26" spans="1:15" x14ac:dyDescent="0.2">
      <c r="A26" t="s">
        <v>36</v>
      </c>
      <c r="B26" t="s">
        <v>89</v>
      </c>
      <c r="C26" t="s">
        <v>96</v>
      </c>
      <c r="D26">
        <v>48</v>
      </c>
      <c r="E26">
        <v>59</v>
      </c>
      <c r="F26">
        <f t="shared" si="0"/>
        <v>4.0677966101694913</v>
      </c>
      <c r="G26">
        <v>15</v>
      </c>
      <c r="H26">
        <v>15</v>
      </c>
      <c r="I26">
        <v>1</v>
      </c>
      <c r="J26">
        <f t="shared" si="1"/>
        <v>5</v>
      </c>
      <c r="K26">
        <v>3</v>
      </c>
      <c r="L26">
        <f t="shared" si="2"/>
        <v>2</v>
      </c>
      <c r="M26">
        <v>2</v>
      </c>
      <c r="N26">
        <f t="shared" si="3"/>
        <v>3</v>
      </c>
      <c r="O26">
        <f t="shared" si="4"/>
        <v>3.5169491525423728</v>
      </c>
    </row>
    <row r="27" spans="1:15" x14ac:dyDescent="0.2">
      <c r="A27" t="s">
        <v>37</v>
      </c>
      <c r="B27" t="s">
        <v>89</v>
      </c>
      <c r="C27" t="s">
        <v>96</v>
      </c>
      <c r="D27">
        <v>48</v>
      </c>
      <c r="E27">
        <v>53</v>
      </c>
      <c r="F27">
        <f t="shared" si="0"/>
        <v>4.5283018867924527</v>
      </c>
      <c r="G27">
        <v>7</v>
      </c>
      <c r="H27">
        <v>7</v>
      </c>
      <c r="I27">
        <v>1</v>
      </c>
      <c r="J27">
        <f t="shared" si="1"/>
        <v>5</v>
      </c>
      <c r="K27">
        <v>3</v>
      </c>
      <c r="L27">
        <f t="shared" si="2"/>
        <v>2</v>
      </c>
      <c r="M27">
        <v>0</v>
      </c>
      <c r="N27">
        <f t="shared" si="3"/>
        <v>5</v>
      </c>
      <c r="O27">
        <f t="shared" si="4"/>
        <v>4.132075471698113</v>
      </c>
    </row>
    <row r="28" spans="1:15" x14ac:dyDescent="0.2">
      <c r="A28" t="s">
        <v>38</v>
      </c>
      <c r="B28" t="s">
        <v>89</v>
      </c>
      <c r="C28" t="s">
        <v>96</v>
      </c>
      <c r="D28">
        <v>48</v>
      </c>
      <c r="E28">
        <v>58</v>
      </c>
      <c r="F28">
        <f t="shared" si="0"/>
        <v>4.1379310344827589</v>
      </c>
      <c r="G28">
        <v>16</v>
      </c>
      <c r="H28">
        <v>21</v>
      </c>
      <c r="I28">
        <v>0.76190476190476186</v>
      </c>
      <c r="J28">
        <f t="shared" si="1"/>
        <v>2</v>
      </c>
      <c r="K28">
        <v>3</v>
      </c>
      <c r="L28">
        <f t="shared" si="2"/>
        <v>2</v>
      </c>
      <c r="M28">
        <v>1</v>
      </c>
      <c r="N28">
        <f t="shared" si="3"/>
        <v>3</v>
      </c>
      <c r="O28">
        <f t="shared" si="4"/>
        <v>2.7844827586206895</v>
      </c>
    </row>
    <row r="29" spans="1:15" x14ac:dyDescent="0.2">
      <c r="A29" t="s">
        <v>39</v>
      </c>
      <c r="B29" t="s">
        <v>89</v>
      </c>
      <c r="C29" t="s">
        <v>97</v>
      </c>
      <c r="D29">
        <v>56</v>
      </c>
      <c r="E29">
        <v>68</v>
      </c>
      <c r="F29">
        <f t="shared" si="0"/>
        <v>4.117647058823529</v>
      </c>
      <c r="G29">
        <v>4</v>
      </c>
      <c r="H29">
        <v>6</v>
      </c>
      <c r="I29">
        <v>0.66666666666666663</v>
      </c>
      <c r="J29">
        <f t="shared" si="1"/>
        <v>1</v>
      </c>
      <c r="K29">
        <v>5</v>
      </c>
      <c r="L29">
        <f t="shared" si="2"/>
        <v>4</v>
      </c>
      <c r="M29">
        <v>3</v>
      </c>
      <c r="N29">
        <f t="shared" si="3"/>
        <v>0</v>
      </c>
      <c r="O29">
        <f t="shared" si="4"/>
        <v>2.2794117647058822</v>
      </c>
    </row>
    <row r="30" spans="1:15" x14ac:dyDescent="0.2">
      <c r="A30" t="s">
        <v>40</v>
      </c>
      <c r="B30" t="s">
        <v>89</v>
      </c>
      <c r="C30" t="s">
        <v>97</v>
      </c>
      <c r="D30">
        <v>56</v>
      </c>
      <c r="E30">
        <v>64</v>
      </c>
      <c r="F30">
        <f t="shared" si="0"/>
        <v>4.375</v>
      </c>
      <c r="G30">
        <v>12</v>
      </c>
      <c r="H30">
        <v>17</v>
      </c>
      <c r="I30">
        <v>0.70588235294117652</v>
      </c>
      <c r="J30">
        <f t="shared" si="1"/>
        <v>2</v>
      </c>
      <c r="K30">
        <v>5</v>
      </c>
      <c r="L30">
        <f t="shared" si="2"/>
        <v>4</v>
      </c>
      <c r="M30">
        <v>0</v>
      </c>
      <c r="N30">
        <f t="shared" si="3"/>
        <v>5</v>
      </c>
      <c r="O30">
        <f t="shared" si="4"/>
        <v>3.84375</v>
      </c>
    </row>
    <row r="31" spans="1:15" x14ac:dyDescent="0.2">
      <c r="A31" t="s">
        <v>41</v>
      </c>
      <c r="B31" t="s">
        <v>89</v>
      </c>
      <c r="C31" t="s">
        <v>97</v>
      </c>
      <c r="D31">
        <v>56</v>
      </c>
      <c r="E31">
        <v>72</v>
      </c>
      <c r="F31">
        <f t="shared" si="0"/>
        <v>3.8888888888888888</v>
      </c>
      <c r="G31">
        <v>9</v>
      </c>
      <c r="H31">
        <v>9</v>
      </c>
      <c r="I31">
        <v>1</v>
      </c>
      <c r="J31">
        <f t="shared" si="1"/>
        <v>5</v>
      </c>
      <c r="K31">
        <v>4</v>
      </c>
      <c r="L31">
        <f t="shared" si="2"/>
        <v>3</v>
      </c>
      <c r="M31">
        <v>1</v>
      </c>
      <c r="N31">
        <f t="shared" si="3"/>
        <v>3</v>
      </c>
      <c r="O31">
        <f t="shared" si="4"/>
        <v>3.7222222222222223</v>
      </c>
    </row>
    <row r="32" spans="1:15" x14ac:dyDescent="0.2">
      <c r="A32" t="s">
        <v>42</v>
      </c>
      <c r="B32" t="s">
        <v>90</v>
      </c>
      <c r="C32" t="s">
        <v>95</v>
      </c>
      <c r="D32">
        <v>60</v>
      </c>
      <c r="E32">
        <v>69</v>
      </c>
      <c r="F32">
        <f t="shared" si="0"/>
        <v>4.3478260869565215</v>
      </c>
      <c r="G32">
        <v>17</v>
      </c>
      <c r="H32">
        <v>17</v>
      </c>
      <c r="I32">
        <v>1</v>
      </c>
      <c r="J32">
        <f t="shared" si="1"/>
        <v>5</v>
      </c>
      <c r="K32">
        <v>4</v>
      </c>
      <c r="L32">
        <f t="shared" si="2"/>
        <v>3</v>
      </c>
      <c r="M32">
        <v>3</v>
      </c>
      <c r="N32">
        <f t="shared" si="3"/>
        <v>0</v>
      </c>
      <c r="O32">
        <f t="shared" si="4"/>
        <v>3.0869565217391304</v>
      </c>
    </row>
    <row r="33" spans="1:15" x14ac:dyDescent="0.2">
      <c r="A33" t="s">
        <v>43</v>
      </c>
      <c r="B33" t="s">
        <v>90</v>
      </c>
      <c r="C33" t="s">
        <v>95</v>
      </c>
      <c r="D33">
        <v>60</v>
      </c>
      <c r="E33">
        <v>67</v>
      </c>
      <c r="F33">
        <f t="shared" si="0"/>
        <v>4.477611940298508</v>
      </c>
      <c r="G33">
        <v>19</v>
      </c>
      <c r="H33">
        <v>23</v>
      </c>
      <c r="I33">
        <v>0.82608695652173914</v>
      </c>
      <c r="J33">
        <f t="shared" si="1"/>
        <v>3</v>
      </c>
      <c r="K33">
        <v>4</v>
      </c>
      <c r="L33">
        <f t="shared" si="2"/>
        <v>3</v>
      </c>
      <c r="M33">
        <v>1</v>
      </c>
      <c r="N33">
        <f t="shared" si="3"/>
        <v>3</v>
      </c>
      <c r="O33">
        <f t="shared" si="4"/>
        <v>3.3694029850746272</v>
      </c>
    </row>
    <row r="34" spans="1:15" x14ac:dyDescent="0.2">
      <c r="A34" t="s">
        <v>44</v>
      </c>
      <c r="B34" t="s">
        <v>90</v>
      </c>
      <c r="C34" t="s">
        <v>95</v>
      </c>
      <c r="D34">
        <v>60</v>
      </c>
      <c r="E34">
        <v>64</v>
      </c>
      <c r="F34">
        <f t="shared" si="0"/>
        <v>4.6875</v>
      </c>
      <c r="G34">
        <v>12</v>
      </c>
      <c r="H34">
        <v>12</v>
      </c>
      <c r="I34">
        <v>1</v>
      </c>
      <c r="J34">
        <f t="shared" si="1"/>
        <v>5</v>
      </c>
      <c r="K34">
        <v>3</v>
      </c>
      <c r="L34">
        <f t="shared" si="2"/>
        <v>2</v>
      </c>
      <c r="M34">
        <v>2</v>
      </c>
      <c r="N34">
        <f t="shared" si="3"/>
        <v>3</v>
      </c>
      <c r="O34">
        <f t="shared" si="4"/>
        <v>3.671875</v>
      </c>
    </row>
    <row r="35" spans="1:15" x14ac:dyDescent="0.2">
      <c r="A35" t="s">
        <v>45</v>
      </c>
      <c r="B35" t="s">
        <v>90</v>
      </c>
      <c r="C35" t="s">
        <v>96</v>
      </c>
      <c r="D35">
        <v>51</v>
      </c>
      <c r="E35">
        <v>60</v>
      </c>
      <c r="F35">
        <f t="shared" si="0"/>
        <v>4.25</v>
      </c>
      <c r="G35">
        <v>15</v>
      </c>
      <c r="H35">
        <v>21</v>
      </c>
      <c r="I35">
        <v>0.7142857142857143</v>
      </c>
      <c r="J35">
        <f t="shared" si="1"/>
        <v>2</v>
      </c>
      <c r="K35">
        <v>4</v>
      </c>
      <c r="L35">
        <f t="shared" si="2"/>
        <v>3</v>
      </c>
      <c r="M35">
        <v>1</v>
      </c>
      <c r="N35">
        <f t="shared" si="3"/>
        <v>3</v>
      </c>
      <c r="O35">
        <f t="shared" si="4"/>
        <v>3.0625</v>
      </c>
    </row>
    <row r="36" spans="1:15" x14ac:dyDescent="0.2">
      <c r="A36" t="s">
        <v>46</v>
      </c>
      <c r="B36" t="s">
        <v>90</v>
      </c>
      <c r="C36" t="s">
        <v>96</v>
      </c>
      <c r="D36">
        <v>51</v>
      </c>
      <c r="E36">
        <v>54</v>
      </c>
      <c r="F36">
        <f t="shared" si="0"/>
        <v>4.7222222222222223</v>
      </c>
      <c r="G36">
        <v>4</v>
      </c>
      <c r="H36">
        <v>6</v>
      </c>
      <c r="I36">
        <v>0.66666666666666663</v>
      </c>
      <c r="J36">
        <f t="shared" si="1"/>
        <v>1</v>
      </c>
      <c r="K36">
        <v>5</v>
      </c>
      <c r="L36">
        <f t="shared" si="2"/>
        <v>4</v>
      </c>
      <c r="M36">
        <v>3</v>
      </c>
      <c r="N36">
        <f t="shared" si="3"/>
        <v>0</v>
      </c>
      <c r="O36">
        <f t="shared" si="4"/>
        <v>2.4305555555555554</v>
      </c>
    </row>
    <row r="37" spans="1:15" x14ac:dyDescent="0.2">
      <c r="A37" t="s">
        <v>47</v>
      </c>
      <c r="B37" t="s">
        <v>90</v>
      </c>
      <c r="C37" t="s">
        <v>96</v>
      </c>
      <c r="D37">
        <v>51</v>
      </c>
      <c r="E37">
        <v>70</v>
      </c>
      <c r="F37">
        <f t="shared" si="0"/>
        <v>3.6428571428571428</v>
      </c>
      <c r="G37">
        <v>4</v>
      </c>
      <c r="H37">
        <v>6</v>
      </c>
      <c r="I37">
        <v>0.66666666666666663</v>
      </c>
      <c r="J37">
        <f t="shared" si="1"/>
        <v>1</v>
      </c>
      <c r="K37">
        <v>5</v>
      </c>
      <c r="L37">
        <f t="shared" si="2"/>
        <v>4</v>
      </c>
      <c r="M37">
        <v>1</v>
      </c>
      <c r="N37">
        <f t="shared" si="3"/>
        <v>3</v>
      </c>
      <c r="O37">
        <f t="shared" si="4"/>
        <v>2.9107142857142856</v>
      </c>
    </row>
    <row r="38" spans="1:15" x14ac:dyDescent="0.2">
      <c r="A38" t="s">
        <v>48</v>
      </c>
      <c r="B38" t="s">
        <v>90</v>
      </c>
      <c r="C38" t="s">
        <v>97</v>
      </c>
      <c r="D38">
        <v>58</v>
      </c>
      <c r="E38">
        <v>66</v>
      </c>
      <c r="F38">
        <f t="shared" si="0"/>
        <v>4.3939393939393936</v>
      </c>
      <c r="G38">
        <v>13</v>
      </c>
      <c r="H38">
        <v>14</v>
      </c>
      <c r="I38">
        <v>0.9285714285714286</v>
      </c>
      <c r="J38">
        <f t="shared" si="1"/>
        <v>4</v>
      </c>
      <c r="K38">
        <v>5</v>
      </c>
      <c r="L38">
        <f t="shared" si="2"/>
        <v>4</v>
      </c>
      <c r="M38">
        <v>1</v>
      </c>
      <c r="N38">
        <f t="shared" si="3"/>
        <v>3</v>
      </c>
      <c r="O38">
        <f t="shared" si="4"/>
        <v>3.8484848484848486</v>
      </c>
    </row>
    <row r="39" spans="1:15" x14ac:dyDescent="0.2">
      <c r="A39" t="s">
        <v>49</v>
      </c>
      <c r="B39" t="s">
        <v>90</v>
      </c>
      <c r="C39" t="s">
        <v>97</v>
      </c>
      <c r="D39">
        <v>58</v>
      </c>
      <c r="E39">
        <v>59</v>
      </c>
      <c r="F39">
        <f t="shared" si="0"/>
        <v>4.9152542372881358</v>
      </c>
      <c r="G39">
        <v>23</v>
      </c>
      <c r="H39">
        <v>26</v>
      </c>
      <c r="I39">
        <v>0.88461538461538458</v>
      </c>
      <c r="J39">
        <f t="shared" si="1"/>
        <v>3</v>
      </c>
      <c r="K39">
        <v>5</v>
      </c>
      <c r="L39">
        <f t="shared" si="2"/>
        <v>4</v>
      </c>
      <c r="M39">
        <v>2</v>
      </c>
      <c r="N39">
        <f t="shared" si="3"/>
        <v>3</v>
      </c>
      <c r="O39">
        <f t="shared" si="4"/>
        <v>3.7288135593220337</v>
      </c>
    </row>
    <row r="40" spans="1:15" x14ac:dyDescent="0.2">
      <c r="A40" t="s">
        <v>50</v>
      </c>
      <c r="B40" t="s">
        <v>90</v>
      </c>
      <c r="C40" t="s">
        <v>97</v>
      </c>
      <c r="D40">
        <v>58</v>
      </c>
      <c r="E40">
        <v>59</v>
      </c>
      <c r="F40">
        <f t="shared" si="0"/>
        <v>4.9152542372881358</v>
      </c>
      <c r="G40">
        <v>19</v>
      </c>
      <c r="H40">
        <v>25</v>
      </c>
      <c r="I40">
        <v>0.76</v>
      </c>
      <c r="J40">
        <f t="shared" si="1"/>
        <v>2</v>
      </c>
      <c r="K40">
        <v>5</v>
      </c>
      <c r="L40">
        <f t="shared" si="2"/>
        <v>4</v>
      </c>
      <c r="M40">
        <v>1</v>
      </c>
      <c r="N40">
        <f t="shared" si="3"/>
        <v>3</v>
      </c>
      <c r="O40">
        <f t="shared" si="4"/>
        <v>3.4788135593220337</v>
      </c>
    </row>
    <row r="41" spans="1:15" x14ac:dyDescent="0.2">
      <c r="A41" t="s">
        <v>51</v>
      </c>
      <c r="B41" t="s">
        <v>91</v>
      </c>
      <c r="C41" t="s">
        <v>95</v>
      </c>
      <c r="D41">
        <v>58</v>
      </c>
      <c r="E41">
        <v>68</v>
      </c>
      <c r="F41">
        <f t="shared" si="0"/>
        <v>4.2647058823529411</v>
      </c>
      <c r="G41">
        <v>23</v>
      </c>
      <c r="H41">
        <v>29</v>
      </c>
      <c r="I41">
        <v>0.7931034482758621</v>
      </c>
      <c r="J41">
        <f t="shared" si="1"/>
        <v>2</v>
      </c>
      <c r="K41">
        <v>3</v>
      </c>
      <c r="L41">
        <f t="shared" si="2"/>
        <v>2</v>
      </c>
      <c r="M41">
        <v>0</v>
      </c>
      <c r="N41">
        <f t="shared" si="3"/>
        <v>5</v>
      </c>
      <c r="O41">
        <f t="shared" si="4"/>
        <v>3.3161764705882355</v>
      </c>
    </row>
    <row r="42" spans="1:15" x14ac:dyDescent="0.2">
      <c r="A42" t="s">
        <v>52</v>
      </c>
      <c r="B42" t="s">
        <v>91</v>
      </c>
      <c r="C42" t="s">
        <v>95</v>
      </c>
      <c r="D42">
        <v>58</v>
      </c>
      <c r="E42">
        <v>61</v>
      </c>
      <c r="F42">
        <f t="shared" si="0"/>
        <v>4.7540983606557372</v>
      </c>
      <c r="G42">
        <v>11</v>
      </c>
      <c r="H42">
        <v>16</v>
      </c>
      <c r="I42">
        <v>0.6875</v>
      </c>
      <c r="J42">
        <f t="shared" si="1"/>
        <v>1</v>
      </c>
      <c r="K42">
        <v>5</v>
      </c>
      <c r="L42">
        <f t="shared" si="2"/>
        <v>4</v>
      </c>
      <c r="M42">
        <v>1</v>
      </c>
      <c r="N42">
        <f t="shared" si="3"/>
        <v>3</v>
      </c>
      <c r="O42">
        <f t="shared" si="4"/>
        <v>3.1885245901639343</v>
      </c>
    </row>
    <row r="43" spans="1:15" x14ac:dyDescent="0.2">
      <c r="A43" t="s">
        <v>53</v>
      </c>
      <c r="B43" t="s">
        <v>91</v>
      </c>
      <c r="C43" t="s">
        <v>95</v>
      </c>
      <c r="D43">
        <v>58</v>
      </c>
      <c r="E43">
        <v>70</v>
      </c>
      <c r="F43">
        <f t="shared" si="0"/>
        <v>4.1428571428571432</v>
      </c>
      <c r="G43">
        <v>3</v>
      </c>
      <c r="H43">
        <v>5</v>
      </c>
      <c r="I43">
        <v>0.6</v>
      </c>
      <c r="J43">
        <f t="shared" si="1"/>
        <v>1</v>
      </c>
      <c r="K43">
        <v>4</v>
      </c>
      <c r="L43">
        <f t="shared" si="2"/>
        <v>3</v>
      </c>
      <c r="M43">
        <v>0</v>
      </c>
      <c r="N43">
        <f t="shared" si="3"/>
        <v>5</v>
      </c>
      <c r="O43">
        <f t="shared" si="4"/>
        <v>3.2857142857142856</v>
      </c>
    </row>
    <row r="44" spans="1:15" x14ac:dyDescent="0.2">
      <c r="A44" t="s">
        <v>54</v>
      </c>
      <c r="B44" t="s">
        <v>91</v>
      </c>
      <c r="C44" t="s">
        <v>96</v>
      </c>
      <c r="D44">
        <v>45</v>
      </c>
      <c r="E44">
        <v>45</v>
      </c>
      <c r="F44">
        <f t="shared" si="0"/>
        <v>5</v>
      </c>
      <c r="G44">
        <v>22</v>
      </c>
      <c r="H44">
        <v>28</v>
      </c>
      <c r="I44">
        <v>0.7857142857142857</v>
      </c>
      <c r="J44">
        <f t="shared" si="1"/>
        <v>2</v>
      </c>
      <c r="K44">
        <v>4</v>
      </c>
      <c r="L44">
        <f t="shared" si="2"/>
        <v>3</v>
      </c>
      <c r="M44">
        <v>3</v>
      </c>
      <c r="N44">
        <f t="shared" si="3"/>
        <v>0</v>
      </c>
      <c r="O44">
        <f t="shared" si="4"/>
        <v>2.5</v>
      </c>
    </row>
    <row r="45" spans="1:15" x14ac:dyDescent="0.2">
      <c r="A45" t="s">
        <v>55</v>
      </c>
      <c r="B45" t="s">
        <v>91</v>
      </c>
      <c r="C45" t="s">
        <v>96</v>
      </c>
      <c r="D45">
        <v>45</v>
      </c>
      <c r="E45">
        <v>62</v>
      </c>
      <c r="F45">
        <f t="shared" si="0"/>
        <v>3.629032258064516</v>
      </c>
      <c r="G45">
        <v>27</v>
      </c>
      <c r="H45">
        <v>30</v>
      </c>
      <c r="I45">
        <v>0.9</v>
      </c>
      <c r="J45">
        <f t="shared" si="1"/>
        <v>4</v>
      </c>
      <c r="K45">
        <v>4</v>
      </c>
      <c r="L45">
        <f t="shared" si="2"/>
        <v>3</v>
      </c>
      <c r="M45">
        <v>0</v>
      </c>
      <c r="N45">
        <f t="shared" si="3"/>
        <v>5</v>
      </c>
      <c r="O45">
        <f t="shared" si="4"/>
        <v>3.907258064516129</v>
      </c>
    </row>
    <row r="46" spans="1:15" x14ac:dyDescent="0.2">
      <c r="A46" t="s">
        <v>56</v>
      </c>
      <c r="B46" t="s">
        <v>91</v>
      </c>
      <c r="C46" t="s">
        <v>96</v>
      </c>
      <c r="D46">
        <v>45</v>
      </c>
      <c r="E46">
        <v>50</v>
      </c>
      <c r="F46">
        <f t="shared" si="0"/>
        <v>4.5</v>
      </c>
      <c r="G46">
        <v>14</v>
      </c>
      <c r="H46">
        <v>14</v>
      </c>
      <c r="I46">
        <v>1</v>
      </c>
      <c r="J46">
        <f t="shared" si="1"/>
        <v>5</v>
      </c>
      <c r="K46">
        <v>3</v>
      </c>
      <c r="L46">
        <f t="shared" si="2"/>
        <v>2</v>
      </c>
      <c r="M46">
        <v>2</v>
      </c>
      <c r="N46">
        <f t="shared" si="3"/>
        <v>3</v>
      </c>
      <c r="O46">
        <f t="shared" si="4"/>
        <v>3.625</v>
      </c>
    </row>
    <row r="47" spans="1:15" x14ac:dyDescent="0.2">
      <c r="A47" t="s">
        <v>57</v>
      </c>
      <c r="B47" t="s">
        <v>91</v>
      </c>
      <c r="C47" t="s">
        <v>97</v>
      </c>
      <c r="D47">
        <v>60</v>
      </c>
      <c r="E47">
        <v>75</v>
      </c>
      <c r="F47">
        <f t="shared" si="0"/>
        <v>4</v>
      </c>
      <c r="G47">
        <v>3</v>
      </c>
      <c r="H47">
        <v>5</v>
      </c>
      <c r="I47">
        <v>0.6</v>
      </c>
      <c r="J47">
        <f t="shared" si="1"/>
        <v>1</v>
      </c>
      <c r="K47">
        <v>3</v>
      </c>
      <c r="L47">
        <f t="shared" si="2"/>
        <v>2</v>
      </c>
      <c r="M47">
        <v>3</v>
      </c>
      <c r="N47">
        <f t="shared" si="3"/>
        <v>0</v>
      </c>
      <c r="O47">
        <f t="shared" si="4"/>
        <v>1.75</v>
      </c>
    </row>
    <row r="48" spans="1:15" x14ac:dyDescent="0.2">
      <c r="A48" t="s">
        <v>58</v>
      </c>
      <c r="B48" t="s">
        <v>91</v>
      </c>
      <c r="C48" t="s">
        <v>97</v>
      </c>
      <c r="D48">
        <v>60</v>
      </c>
      <c r="E48">
        <v>78</v>
      </c>
      <c r="F48">
        <f t="shared" si="0"/>
        <v>3.8461538461538463</v>
      </c>
      <c r="G48">
        <v>12</v>
      </c>
      <c r="H48">
        <v>13</v>
      </c>
      <c r="I48">
        <v>0.92307692307692313</v>
      </c>
      <c r="J48">
        <f t="shared" si="1"/>
        <v>4</v>
      </c>
      <c r="K48">
        <v>3</v>
      </c>
      <c r="L48">
        <f t="shared" si="2"/>
        <v>2</v>
      </c>
      <c r="M48">
        <v>2</v>
      </c>
      <c r="N48">
        <f t="shared" si="3"/>
        <v>3</v>
      </c>
      <c r="O48">
        <f t="shared" si="4"/>
        <v>3.2115384615384617</v>
      </c>
    </row>
    <row r="49" spans="1:15" x14ac:dyDescent="0.2">
      <c r="A49" t="s">
        <v>59</v>
      </c>
      <c r="B49" t="s">
        <v>91</v>
      </c>
      <c r="C49" t="s">
        <v>97</v>
      </c>
      <c r="D49">
        <v>60</v>
      </c>
      <c r="E49">
        <v>62</v>
      </c>
      <c r="F49">
        <f t="shared" si="0"/>
        <v>4.838709677419355</v>
      </c>
      <c r="G49">
        <v>15</v>
      </c>
      <c r="H49">
        <v>17</v>
      </c>
      <c r="I49">
        <v>0.88235294117647056</v>
      </c>
      <c r="J49">
        <f t="shared" si="1"/>
        <v>3</v>
      </c>
      <c r="K49">
        <v>4</v>
      </c>
      <c r="L49">
        <f t="shared" si="2"/>
        <v>3</v>
      </c>
      <c r="M49">
        <v>3</v>
      </c>
      <c r="N49">
        <f t="shared" si="3"/>
        <v>0</v>
      </c>
      <c r="O49">
        <f t="shared" si="4"/>
        <v>2.709677419354839</v>
      </c>
    </row>
    <row r="50" spans="1:15" x14ac:dyDescent="0.2">
      <c r="A50" t="s">
        <v>60</v>
      </c>
      <c r="B50" t="s">
        <v>92</v>
      </c>
      <c r="C50" t="s">
        <v>95</v>
      </c>
      <c r="D50">
        <v>61</v>
      </c>
      <c r="E50">
        <v>73</v>
      </c>
      <c r="F50">
        <f t="shared" si="0"/>
        <v>4.1780821917808222</v>
      </c>
      <c r="G50">
        <v>14</v>
      </c>
      <c r="H50">
        <v>20</v>
      </c>
      <c r="I50">
        <v>0.7</v>
      </c>
      <c r="J50">
        <f t="shared" si="1"/>
        <v>2</v>
      </c>
      <c r="K50">
        <v>5</v>
      </c>
      <c r="L50">
        <f t="shared" si="2"/>
        <v>4</v>
      </c>
      <c r="M50">
        <v>0</v>
      </c>
      <c r="N50">
        <f t="shared" si="3"/>
        <v>5</v>
      </c>
      <c r="O50">
        <f t="shared" si="4"/>
        <v>3.7945205479452055</v>
      </c>
    </row>
    <row r="51" spans="1:15" x14ac:dyDescent="0.2">
      <c r="A51" t="s">
        <v>61</v>
      </c>
      <c r="B51" t="s">
        <v>92</v>
      </c>
      <c r="C51" t="s">
        <v>95</v>
      </c>
      <c r="D51">
        <v>61</v>
      </c>
      <c r="E51">
        <v>65</v>
      </c>
      <c r="F51">
        <f t="shared" si="0"/>
        <v>4.6923076923076925</v>
      </c>
      <c r="G51">
        <v>5</v>
      </c>
      <c r="H51">
        <v>6</v>
      </c>
      <c r="I51">
        <v>0.83333333333333337</v>
      </c>
      <c r="J51">
        <f t="shared" si="1"/>
        <v>3</v>
      </c>
      <c r="K51">
        <v>4</v>
      </c>
      <c r="L51">
        <f t="shared" si="2"/>
        <v>3</v>
      </c>
      <c r="M51">
        <v>2</v>
      </c>
      <c r="N51">
        <f t="shared" si="3"/>
        <v>3</v>
      </c>
      <c r="O51">
        <f t="shared" si="4"/>
        <v>3.4230769230769234</v>
      </c>
    </row>
    <row r="52" spans="1:15" x14ac:dyDescent="0.2">
      <c r="A52" t="s">
        <v>62</v>
      </c>
      <c r="B52" t="s">
        <v>92</v>
      </c>
      <c r="C52" t="s">
        <v>95</v>
      </c>
      <c r="D52">
        <v>61</v>
      </c>
      <c r="E52">
        <v>76</v>
      </c>
      <c r="F52">
        <f t="shared" si="0"/>
        <v>4.0131578947368425</v>
      </c>
      <c r="G52">
        <v>6</v>
      </c>
      <c r="H52">
        <v>9</v>
      </c>
      <c r="I52">
        <v>0.66666666666666663</v>
      </c>
      <c r="J52">
        <f t="shared" si="1"/>
        <v>1</v>
      </c>
      <c r="K52">
        <v>3</v>
      </c>
      <c r="L52">
        <f t="shared" si="2"/>
        <v>2</v>
      </c>
      <c r="M52">
        <v>3</v>
      </c>
      <c r="N52">
        <f t="shared" si="3"/>
        <v>0</v>
      </c>
      <c r="O52">
        <f t="shared" si="4"/>
        <v>1.7532894736842106</v>
      </c>
    </row>
    <row r="53" spans="1:15" x14ac:dyDescent="0.2">
      <c r="A53" t="s">
        <v>63</v>
      </c>
      <c r="B53" t="s">
        <v>92</v>
      </c>
      <c r="C53" t="s">
        <v>96</v>
      </c>
      <c r="D53">
        <v>47</v>
      </c>
      <c r="E53">
        <v>52</v>
      </c>
      <c r="F53">
        <f t="shared" si="0"/>
        <v>4.5192307692307692</v>
      </c>
      <c r="G53">
        <v>9</v>
      </c>
      <c r="H53">
        <v>10</v>
      </c>
      <c r="I53">
        <v>0.9</v>
      </c>
      <c r="J53">
        <f t="shared" si="1"/>
        <v>4</v>
      </c>
      <c r="K53">
        <v>3</v>
      </c>
      <c r="L53">
        <f t="shared" si="2"/>
        <v>2</v>
      </c>
      <c r="M53">
        <v>3</v>
      </c>
      <c r="N53">
        <f t="shared" si="3"/>
        <v>0</v>
      </c>
      <c r="O53">
        <f t="shared" si="4"/>
        <v>2.6298076923076925</v>
      </c>
    </row>
    <row r="54" spans="1:15" x14ac:dyDescent="0.2">
      <c r="A54" t="s">
        <v>64</v>
      </c>
      <c r="B54" t="s">
        <v>92</v>
      </c>
      <c r="C54" t="s">
        <v>96</v>
      </c>
      <c r="D54">
        <v>47</v>
      </c>
      <c r="E54">
        <v>50</v>
      </c>
      <c r="F54">
        <f t="shared" si="0"/>
        <v>4.6999999999999993</v>
      </c>
      <c r="G54">
        <v>22</v>
      </c>
      <c r="H54">
        <v>23</v>
      </c>
      <c r="I54">
        <v>0.95652173913043481</v>
      </c>
      <c r="J54">
        <f t="shared" si="1"/>
        <v>5</v>
      </c>
      <c r="K54">
        <v>4</v>
      </c>
      <c r="L54">
        <f t="shared" si="2"/>
        <v>3</v>
      </c>
      <c r="M54">
        <v>3</v>
      </c>
      <c r="N54">
        <f t="shared" si="3"/>
        <v>0</v>
      </c>
      <c r="O54">
        <f t="shared" si="4"/>
        <v>3.1749999999999998</v>
      </c>
    </row>
    <row r="55" spans="1:15" x14ac:dyDescent="0.2">
      <c r="A55" t="s">
        <v>65</v>
      </c>
      <c r="B55" t="s">
        <v>92</v>
      </c>
      <c r="C55" t="s">
        <v>96</v>
      </c>
      <c r="D55">
        <v>47</v>
      </c>
      <c r="E55">
        <v>47</v>
      </c>
      <c r="F55">
        <f t="shared" si="0"/>
        <v>5</v>
      </c>
      <c r="G55">
        <v>11</v>
      </c>
      <c r="H55">
        <v>17</v>
      </c>
      <c r="I55">
        <v>0.6470588235294118</v>
      </c>
      <c r="J55">
        <f t="shared" si="1"/>
        <v>1</v>
      </c>
      <c r="K55">
        <v>5</v>
      </c>
      <c r="L55">
        <f t="shared" si="2"/>
        <v>4</v>
      </c>
      <c r="M55">
        <v>2</v>
      </c>
      <c r="N55">
        <f t="shared" si="3"/>
        <v>3</v>
      </c>
      <c r="O55">
        <f t="shared" si="4"/>
        <v>3.25</v>
      </c>
    </row>
    <row r="56" spans="1:15" x14ac:dyDescent="0.2">
      <c r="A56" t="s">
        <v>66</v>
      </c>
      <c r="B56" t="s">
        <v>92</v>
      </c>
      <c r="C56" t="s">
        <v>97</v>
      </c>
      <c r="D56">
        <v>55</v>
      </c>
      <c r="E56">
        <v>60</v>
      </c>
      <c r="F56">
        <f t="shared" si="0"/>
        <v>4.583333333333333</v>
      </c>
      <c r="G56">
        <v>27</v>
      </c>
      <c r="H56">
        <v>27</v>
      </c>
      <c r="I56">
        <v>1</v>
      </c>
      <c r="J56">
        <f t="shared" si="1"/>
        <v>5</v>
      </c>
      <c r="K56">
        <v>5</v>
      </c>
      <c r="L56">
        <f t="shared" si="2"/>
        <v>4</v>
      </c>
      <c r="M56">
        <v>1</v>
      </c>
      <c r="N56">
        <f t="shared" si="3"/>
        <v>3</v>
      </c>
      <c r="O56">
        <f t="shared" si="4"/>
        <v>4.145833333333333</v>
      </c>
    </row>
    <row r="57" spans="1:15" x14ac:dyDescent="0.2">
      <c r="A57" t="s">
        <v>67</v>
      </c>
      <c r="B57" t="s">
        <v>92</v>
      </c>
      <c r="C57" t="s">
        <v>97</v>
      </c>
      <c r="D57">
        <v>55</v>
      </c>
      <c r="E57">
        <v>73</v>
      </c>
      <c r="F57">
        <f t="shared" si="0"/>
        <v>3.7671232876712328</v>
      </c>
      <c r="G57">
        <v>14</v>
      </c>
      <c r="H57">
        <v>14</v>
      </c>
      <c r="I57">
        <v>1</v>
      </c>
      <c r="J57">
        <f t="shared" si="1"/>
        <v>5</v>
      </c>
      <c r="K57">
        <v>3</v>
      </c>
      <c r="L57">
        <f t="shared" si="2"/>
        <v>2</v>
      </c>
      <c r="M57">
        <v>2</v>
      </c>
      <c r="N57">
        <f t="shared" si="3"/>
        <v>3</v>
      </c>
      <c r="O57">
        <f t="shared" si="4"/>
        <v>3.4417808219178081</v>
      </c>
    </row>
    <row r="58" spans="1:15" x14ac:dyDescent="0.2">
      <c r="A58" t="s">
        <v>68</v>
      </c>
      <c r="B58" t="s">
        <v>92</v>
      </c>
      <c r="C58" t="s">
        <v>97</v>
      </c>
      <c r="D58">
        <v>55</v>
      </c>
      <c r="E58">
        <v>73</v>
      </c>
      <c r="F58">
        <f t="shared" si="0"/>
        <v>3.7671232876712328</v>
      </c>
      <c r="G58">
        <v>19</v>
      </c>
      <c r="H58">
        <v>23</v>
      </c>
      <c r="I58">
        <v>0.82608695652173914</v>
      </c>
      <c r="J58">
        <f t="shared" si="1"/>
        <v>3</v>
      </c>
      <c r="K58">
        <v>3</v>
      </c>
      <c r="L58">
        <f t="shared" si="2"/>
        <v>2</v>
      </c>
      <c r="M58">
        <v>2</v>
      </c>
      <c r="N58">
        <f t="shared" si="3"/>
        <v>3</v>
      </c>
      <c r="O58">
        <f t="shared" si="4"/>
        <v>2.9417808219178081</v>
      </c>
    </row>
    <row r="59" spans="1:15" x14ac:dyDescent="0.2">
      <c r="A59" t="s">
        <v>69</v>
      </c>
      <c r="B59" t="s">
        <v>93</v>
      </c>
      <c r="C59" t="s">
        <v>95</v>
      </c>
      <c r="D59">
        <v>57</v>
      </c>
      <c r="E59">
        <v>73</v>
      </c>
      <c r="F59">
        <f t="shared" si="0"/>
        <v>3.904109589041096</v>
      </c>
      <c r="G59">
        <v>5</v>
      </c>
      <c r="H59">
        <v>7</v>
      </c>
      <c r="I59">
        <v>0.7142857142857143</v>
      </c>
      <c r="J59">
        <f t="shared" si="1"/>
        <v>2</v>
      </c>
      <c r="K59">
        <v>3</v>
      </c>
      <c r="L59">
        <f t="shared" si="2"/>
        <v>2</v>
      </c>
      <c r="M59">
        <v>3</v>
      </c>
      <c r="N59">
        <f t="shared" si="3"/>
        <v>0</v>
      </c>
      <c r="O59">
        <f t="shared" si="4"/>
        <v>1.976027397260274</v>
      </c>
    </row>
    <row r="60" spans="1:15" x14ac:dyDescent="0.2">
      <c r="A60" t="s">
        <v>70</v>
      </c>
      <c r="B60" t="s">
        <v>93</v>
      </c>
      <c r="C60" t="s">
        <v>95</v>
      </c>
      <c r="D60">
        <v>57</v>
      </c>
      <c r="E60">
        <v>63</v>
      </c>
      <c r="F60">
        <f t="shared" si="0"/>
        <v>4.5238095238095237</v>
      </c>
      <c r="G60">
        <v>8</v>
      </c>
      <c r="H60">
        <v>9</v>
      </c>
      <c r="I60">
        <v>0.88888888888888884</v>
      </c>
      <c r="J60">
        <f t="shared" si="1"/>
        <v>3</v>
      </c>
      <c r="K60">
        <v>3</v>
      </c>
      <c r="L60">
        <f t="shared" si="2"/>
        <v>2</v>
      </c>
      <c r="M60">
        <v>3</v>
      </c>
      <c r="N60">
        <f t="shared" si="3"/>
        <v>0</v>
      </c>
      <c r="O60">
        <f t="shared" si="4"/>
        <v>2.3809523809523809</v>
      </c>
    </row>
    <row r="61" spans="1:15" x14ac:dyDescent="0.2">
      <c r="A61" t="s">
        <v>71</v>
      </c>
      <c r="B61" t="s">
        <v>93</v>
      </c>
      <c r="C61" t="s">
        <v>95</v>
      </c>
      <c r="D61">
        <v>57</v>
      </c>
      <c r="E61">
        <v>59</v>
      </c>
      <c r="F61">
        <f t="shared" si="0"/>
        <v>4.8305084745762707</v>
      </c>
      <c r="G61">
        <v>22</v>
      </c>
      <c r="H61">
        <v>29</v>
      </c>
      <c r="I61">
        <v>0.75862068965517238</v>
      </c>
      <c r="J61">
        <f t="shared" si="1"/>
        <v>2</v>
      </c>
      <c r="K61">
        <v>4</v>
      </c>
      <c r="L61">
        <f t="shared" si="2"/>
        <v>3</v>
      </c>
      <c r="M61">
        <v>1</v>
      </c>
      <c r="N61">
        <f t="shared" si="3"/>
        <v>3</v>
      </c>
      <c r="O61">
        <f t="shared" si="4"/>
        <v>3.2076271186440675</v>
      </c>
    </row>
    <row r="62" spans="1:15" x14ac:dyDescent="0.2">
      <c r="A62" t="s">
        <v>72</v>
      </c>
      <c r="B62" t="s">
        <v>93</v>
      </c>
      <c r="C62" t="s">
        <v>96</v>
      </c>
      <c r="D62">
        <v>46</v>
      </c>
      <c r="E62">
        <v>46</v>
      </c>
      <c r="F62">
        <f t="shared" si="0"/>
        <v>5</v>
      </c>
      <c r="G62">
        <v>23</v>
      </c>
      <c r="H62">
        <v>28</v>
      </c>
      <c r="I62">
        <v>0.8214285714285714</v>
      </c>
      <c r="J62">
        <f t="shared" si="1"/>
        <v>3</v>
      </c>
      <c r="K62">
        <v>4</v>
      </c>
      <c r="L62">
        <f t="shared" si="2"/>
        <v>3</v>
      </c>
      <c r="M62">
        <v>0</v>
      </c>
      <c r="N62">
        <f t="shared" si="3"/>
        <v>5</v>
      </c>
      <c r="O62">
        <f t="shared" si="4"/>
        <v>4</v>
      </c>
    </row>
    <row r="63" spans="1:15" x14ac:dyDescent="0.2">
      <c r="A63" t="s">
        <v>73</v>
      </c>
      <c r="B63" t="s">
        <v>93</v>
      </c>
      <c r="C63" t="s">
        <v>96</v>
      </c>
      <c r="D63">
        <v>46</v>
      </c>
      <c r="E63">
        <v>50</v>
      </c>
      <c r="F63">
        <f t="shared" si="0"/>
        <v>4.6000000000000005</v>
      </c>
      <c r="G63">
        <v>21</v>
      </c>
      <c r="H63">
        <v>25</v>
      </c>
      <c r="I63">
        <v>0.84</v>
      </c>
      <c r="J63">
        <f t="shared" si="1"/>
        <v>3</v>
      </c>
      <c r="K63">
        <v>4</v>
      </c>
      <c r="L63">
        <f t="shared" si="2"/>
        <v>3</v>
      </c>
      <c r="M63">
        <v>2</v>
      </c>
      <c r="N63">
        <f t="shared" si="3"/>
        <v>3</v>
      </c>
      <c r="O63">
        <f t="shared" si="4"/>
        <v>3.4000000000000004</v>
      </c>
    </row>
    <row r="64" spans="1:15" x14ac:dyDescent="0.2">
      <c r="A64" t="s">
        <v>74</v>
      </c>
      <c r="B64" t="s">
        <v>93</v>
      </c>
      <c r="C64" t="s">
        <v>96</v>
      </c>
      <c r="D64">
        <v>46</v>
      </c>
      <c r="E64">
        <v>55</v>
      </c>
      <c r="F64">
        <f t="shared" si="0"/>
        <v>4.1818181818181817</v>
      </c>
      <c r="G64">
        <v>13</v>
      </c>
      <c r="H64">
        <v>13</v>
      </c>
      <c r="I64">
        <v>1</v>
      </c>
      <c r="J64">
        <f t="shared" si="1"/>
        <v>5</v>
      </c>
      <c r="K64">
        <v>5</v>
      </c>
      <c r="L64">
        <f t="shared" si="2"/>
        <v>4</v>
      </c>
      <c r="M64">
        <v>2</v>
      </c>
      <c r="N64">
        <f t="shared" si="3"/>
        <v>3</v>
      </c>
      <c r="O64">
        <f t="shared" si="4"/>
        <v>4.045454545454545</v>
      </c>
    </row>
    <row r="65" spans="1:15" x14ac:dyDescent="0.2">
      <c r="A65" t="s">
        <v>75</v>
      </c>
      <c r="B65" t="s">
        <v>93</v>
      </c>
      <c r="C65" t="s">
        <v>97</v>
      </c>
      <c r="D65">
        <v>58</v>
      </c>
      <c r="E65">
        <v>67</v>
      </c>
      <c r="F65">
        <f t="shared" si="0"/>
        <v>4.3283582089552235</v>
      </c>
      <c r="G65">
        <v>20</v>
      </c>
      <c r="H65">
        <v>24</v>
      </c>
      <c r="I65">
        <v>0.83333333333333337</v>
      </c>
      <c r="J65">
        <f t="shared" si="1"/>
        <v>3</v>
      </c>
      <c r="K65">
        <v>5</v>
      </c>
      <c r="L65">
        <f t="shared" si="2"/>
        <v>4</v>
      </c>
      <c r="M65">
        <v>1</v>
      </c>
      <c r="N65">
        <f t="shared" si="3"/>
        <v>3</v>
      </c>
      <c r="O65">
        <f t="shared" si="4"/>
        <v>3.5820895522388057</v>
      </c>
    </row>
    <row r="66" spans="1:15" x14ac:dyDescent="0.2">
      <c r="A66" t="s">
        <v>76</v>
      </c>
      <c r="B66" t="s">
        <v>93</v>
      </c>
      <c r="C66" t="s">
        <v>97</v>
      </c>
      <c r="D66">
        <v>58</v>
      </c>
      <c r="E66">
        <v>64</v>
      </c>
      <c r="F66">
        <f t="shared" si="0"/>
        <v>4.53125</v>
      </c>
      <c r="G66">
        <v>7</v>
      </c>
      <c r="H66">
        <v>8</v>
      </c>
      <c r="I66">
        <v>0.875</v>
      </c>
      <c r="J66">
        <f t="shared" si="1"/>
        <v>3</v>
      </c>
      <c r="K66">
        <v>4</v>
      </c>
      <c r="L66">
        <f t="shared" si="2"/>
        <v>3</v>
      </c>
      <c r="M66">
        <v>2</v>
      </c>
      <c r="N66">
        <f t="shared" si="3"/>
        <v>3</v>
      </c>
      <c r="O66">
        <f t="shared" si="4"/>
        <v>3.3828125</v>
      </c>
    </row>
    <row r="67" spans="1:15" x14ac:dyDescent="0.2">
      <c r="A67" t="s">
        <v>77</v>
      </c>
      <c r="B67" t="s">
        <v>93</v>
      </c>
      <c r="C67" t="s">
        <v>97</v>
      </c>
      <c r="D67">
        <v>58</v>
      </c>
      <c r="E67">
        <v>67</v>
      </c>
      <c r="F67">
        <f t="shared" si="0"/>
        <v>4.3283582089552235</v>
      </c>
      <c r="G67">
        <v>21</v>
      </c>
      <c r="H67">
        <v>22</v>
      </c>
      <c r="I67">
        <v>0.95454545454545459</v>
      </c>
      <c r="J67">
        <f t="shared" si="1"/>
        <v>5</v>
      </c>
      <c r="K67">
        <v>3</v>
      </c>
      <c r="L67">
        <f t="shared" si="2"/>
        <v>2</v>
      </c>
      <c r="M67">
        <v>2</v>
      </c>
      <c r="N67">
        <f t="shared" si="3"/>
        <v>3</v>
      </c>
      <c r="O67">
        <f t="shared" si="4"/>
        <v>3.5820895522388057</v>
      </c>
    </row>
    <row r="68" spans="1:15" x14ac:dyDescent="0.2">
      <c r="A68" t="s">
        <v>78</v>
      </c>
      <c r="B68" t="s">
        <v>94</v>
      </c>
      <c r="C68" t="s">
        <v>95</v>
      </c>
      <c r="D68">
        <v>62</v>
      </c>
      <c r="E68">
        <v>81</v>
      </c>
      <c r="F68">
        <f t="shared" si="0"/>
        <v>3.8271604938271602</v>
      </c>
      <c r="G68">
        <v>27</v>
      </c>
      <c r="H68">
        <v>27</v>
      </c>
      <c r="I68">
        <v>1</v>
      </c>
      <c r="J68">
        <f t="shared" si="1"/>
        <v>5</v>
      </c>
      <c r="K68">
        <v>3</v>
      </c>
      <c r="L68">
        <f t="shared" si="2"/>
        <v>2</v>
      </c>
      <c r="M68">
        <v>3</v>
      </c>
      <c r="N68">
        <f t="shared" si="3"/>
        <v>0</v>
      </c>
      <c r="O68">
        <f t="shared" si="4"/>
        <v>2.7067901234567899</v>
      </c>
    </row>
    <row r="69" spans="1:15" x14ac:dyDescent="0.2">
      <c r="A69" t="s">
        <v>79</v>
      </c>
      <c r="B69" t="s">
        <v>94</v>
      </c>
      <c r="C69" t="s">
        <v>95</v>
      </c>
      <c r="D69">
        <v>62</v>
      </c>
      <c r="E69">
        <v>80</v>
      </c>
      <c r="F69">
        <f t="shared" si="0"/>
        <v>3.875</v>
      </c>
      <c r="G69">
        <v>11</v>
      </c>
      <c r="H69">
        <v>12</v>
      </c>
      <c r="I69">
        <v>0.91666666666666663</v>
      </c>
      <c r="J69">
        <f t="shared" si="1"/>
        <v>4</v>
      </c>
      <c r="K69">
        <v>4</v>
      </c>
      <c r="L69">
        <f t="shared" si="2"/>
        <v>3</v>
      </c>
      <c r="M69">
        <v>3</v>
      </c>
      <c r="N69">
        <f t="shared" si="3"/>
        <v>0</v>
      </c>
      <c r="O69">
        <f t="shared" si="4"/>
        <v>2.71875</v>
      </c>
    </row>
    <row r="70" spans="1:15" x14ac:dyDescent="0.2">
      <c r="A70" t="s">
        <v>80</v>
      </c>
      <c r="B70" t="s">
        <v>94</v>
      </c>
      <c r="C70" t="s">
        <v>95</v>
      </c>
      <c r="D70">
        <v>62</v>
      </c>
      <c r="E70">
        <v>68</v>
      </c>
      <c r="F70">
        <f t="shared" ref="F70:F76" si="5">D70/E70*5</f>
        <v>4.5588235294117645</v>
      </c>
      <c r="G70">
        <v>25</v>
      </c>
      <c r="H70">
        <v>30</v>
      </c>
      <c r="I70">
        <v>0.83333333333333337</v>
      </c>
      <c r="J70">
        <f t="shared" ref="J70:J76" si="6">IF(I70&gt;=0.95,5,IF(I70&gt;=0.9,4,IF(I70&gt;=0.8,3,IF(I70&gt;=0.7,2,1))))</f>
        <v>3</v>
      </c>
      <c r="K70">
        <v>5</v>
      </c>
      <c r="L70">
        <f t="shared" ref="L70:L76" si="7">K70-1</f>
        <v>4</v>
      </c>
      <c r="M70">
        <v>2</v>
      </c>
      <c r="N70">
        <f t="shared" ref="N70:N76" si="8">IF(M70=0,5,IF(M70&lt;=2,3,0))</f>
        <v>3</v>
      </c>
      <c r="O70">
        <f t="shared" ref="O70:O76" si="9">(F70*0.25)+(J70*0.25)+(L70*0.25)+(N70*0.25)</f>
        <v>3.6397058823529411</v>
      </c>
    </row>
    <row r="71" spans="1:15" x14ac:dyDescent="0.2">
      <c r="A71" t="s">
        <v>81</v>
      </c>
      <c r="B71" t="s">
        <v>94</v>
      </c>
      <c r="C71" t="s">
        <v>96</v>
      </c>
      <c r="D71">
        <v>51</v>
      </c>
      <c r="E71">
        <v>52</v>
      </c>
      <c r="F71">
        <f t="shared" si="5"/>
        <v>4.9038461538461533</v>
      </c>
      <c r="G71">
        <v>13</v>
      </c>
      <c r="H71">
        <v>18</v>
      </c>
      <c r="I71">
        <v>0.72222222222222221</v>
      </c>
      <c r="J71">
        <f t="shared" si="6"/>
        <v>2</v>
      </c>
      <c r="K71">
        <v>3</v>
      </c>
      <c r="L71">
        <f t="shared" si="7"/>
        <v>2</v>
      </c>
      <c r="M71">
        <v>0</v>
      </c>
      <c r="N71">
        <f t="shared" si="8"/>
        <v>5</v>
      </c>
      <c r="O71">
        <f t="shared" si="9"/>
        <v>3.4759615384615383</v>
      </c>
    </row>
    <row r="72" spans="1:15" x14ac:dyDescent="0.2">
      <c r="A72" t="s">
        <v>82</v>
      </c>
      <c r="B72" t="s">
        <v>94</v>
      </c>
      <c r="C72" t="s">
        <v>96</v>
      </c>
      <c r="D72">
        <v>51</v>
      </c>
      <c r="E72">
        <v>53</v>
      </c>
      <c r="F72">
        <f t="shared" si="5"/>
        <v>4.8113207547169807</v>
      </c>
      <c r="G72">
        <v>21</v>
      </c>
      <c r="H72">
        <v>25</v>
      </c>
      <c r="I72">
        <v>0.84</v>
      </c>
      <c r="J72">
        <f t="shared" si="6"/>
        <v>3</v>
      </c>
      <c r="K72">
        <v>3</v>
      </c>
      <c r="L72">
        <f t="shared" si="7"/>
        <v>2</v>
      </c>
      <c r="M72">
        <v>3</v>
      </c>
      <c r="N72">
        <f t="shared" si="8"/>
        <v>0</v>
      </c>
      <c r="O72">
        <f t="shared" si="9"/>
        <v>2.4528301886792452</v>
      </c>
    </row>
    <row r="73" spans="1:15" x14ac:dyDescent="0.2">
      <c r="A73" t="s">
        <v>83</v>
      </c>
      <c r="B73" t="s">
        <v>94</v>
      </c>
      <c r="C73" t="s">
        <v>96</v>
      </c>
      <c r="D73">
        <v>51</v>
      </c>
      <c r="E73">
        <v>64</v>
      </c>
      <c r="F73">
        <f t="shared" si="5"/>
        <v>3.984375</v>
      </c>
      <c r="G73">
        <v>23</v>
      </c>
      <c r="H73">
        <v>30</v>
      </c>
      <c r="I73">
        <v>0.76666666666666672</v>
      </c>
      <c r="J73">
        <f t="shared" si="6"/>
        <v>2</v>
      </c>
      <c r="K73">
        <v>4</v>
      </c>
      <c r="L73">
        <f t="shared" si="7"/>
        <v>3</v>
      </c>
      <c r="M73">
        <v>2</v>
      </c>
      <c r="N73">
        <f t="shared" si="8"/>
        <v>3</v>
      </c>
      <c r="O73">
        <f t="shared" si="9"/>
        <v>2.99609375</v>
      </c>
    </row>
    <row r="74" spans="1:15" x14ac:dyDescent="0.2">
      <c r="A74" t="s">
        <v>84</v>
      </c>
      <c r="B74" t="s">
        <v>94</v>
      </c>
      <c r="C74" t="s">
        <v>97</v>
      </c>
      <c r="D74">
        <v>58</v>
      </c>
      <c r="E74">
        <v>65</v>
      </c>
      <c r="F74">
        <f t="shared" si="5"/>
        <v>4.4615384615384617</v>
      </c>
      <c r="G74">
        <v>10</v>
      </c>
      <c r="H74">
        <v>11</v>
      </c>
      <c r="I74">
        <v>0.90909090909090906</v>
      </c>
      <c r="J74">
        <f t="shared" si="6"/>
        <v>4</v>
      </c>
      <c r="K74">
        <v>5</v>
      </c>
      <c r="L74">
        <f t="shared" si="7"/>
        <v>4</v>
      </c>
      <c r="M74">
        <v>1</v>
      </c>
      <c r="N74">
        <f t="shared" si="8"/>
        <v>3</v>
      </c>
      <c r="O74">
        <f t="shared" si="9"/>
        <v>3.8653846153846154</v>
      </c>
    </row>
    <row r="75" spans="1:15" x14ac:dyDescent="0.2">
      <c r="A75" t="s">
        <v>85</v>
      </c>
      <c r="B75" t="s">
        <v>94</v>
      </c>
      <c r="C75" t="s">
        <v>97</v>
      </c>
      <c r="D75">
        <v>58</v>
      </c>
      <c r="E75">
        <v>67</v>
      </c>
      <c r="F75">
        <f t="shared" si="5"/>
        <v>4.3283582089552235</v>
      </c>
      <c r="G75">
        <v>8</v>
      </c>
      <c r="H75">
        <v>9</v>
      </c>
      <c r="I75">
        <v>0.88888888888888884</v>
      </c>
      <c r="J75">
        <f t="shared" si="6"/>
        <v>3</v>
      </c>
      <c r="K75">
        <v>4</v>
      </c>
      <c r="L75">
        <f t="shared" si="7"/>
        <v>3</v>
      </c>
      <c r="M75">
        <v>1</v>
      </c>
      <c r="N75">
        <f t="shared" si="8"/>
        <v>3</v>
      </c>
      <c r="O75">
        <f t="shared" si="9"/>
        <v>3.3320895522388057</v>
      </c>
    </row>
    <row r="76" spans="1:15" x14ac:dyDescent="0.2">
      <c r="A76" t="s">
        <v>86</v>
      </c>
      <c r="B76" t="s">
        <v>94</v>
      </c>
      <c r="C76" t="s">
        <v>97</v>
      </c>
      <c r="D76">
        <v>58</v>
      </c>
      <c r="E76">
        <v>72</v>
      </c>
      <c r="F76">
        <f t="shared" si="5"/>
        <v>4.0277777777777777</v>
      </c>
      <c r="G76">
        <v>21</v>
      </c>
      <c r="H76">
        <v>30</v>
      </c>
      <c r="I76">
        <v>0.7</v>
      </c>
      <c r="J76">
        <f t="shared" si="6"/>
        <v>2</v>
      </c>
      <c r="K76">
        <v>3</v>
      </c>
      <c r="L76">
        <f t="shared" si="7"/>
        <v>2</v>
      </c>
      <c r="M76">
        <v>3</v>
      </c>
      <c r="N76">
        <f t="shared" si="8"/>
        <v>0</v>
      </c>
      <c r="O76">
        <f t="shared" si="9"/>
        <v>2.0069444444444446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Jesús Ayensa Gerpe</cp:lastModifiedBy>
  <dcterms:created xsi:type="dcterms:W3CDTF">2025-11-19T12:18:21Z</dcterms:created>
  <dcterms:modified xsi:type="dcterms:W3CDTF">2025-11-19T14:47:34Z</dcterms:modified>
</cp:coreProperties>
</file>